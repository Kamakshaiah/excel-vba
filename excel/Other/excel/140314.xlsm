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135" windowWidth="21075" windowHeight="9780" firstSheet="4" activeTab="7"/>
  </bookViews>
  <sheets>
    <sheet name="format" sheetId="1" r:id="rId1"/>
    <sheet name="summary" sheetId="2" r:id="rId2"/>
    <sheet name="summary_trial1" sheetId="3" r:id="rId3"/>
    <sheet name="Sheet4" sheetId="4" r:id="rId4"/>
    <sheet name="Sheet5" sheetId="5" r:id="rId5"/>
    <sheet name="active_cell" sheetId="6" r:id="rId6"/>
    <sheet name="Sheet7" sheetId="7" r:id="rId7"/>
    <sheet name="Sheet8" sheetId="8" r:id="rId8"/>
  </sheets>
  <externalReferences>
    <externalReference r:id="rId9"/>
  </externalReferences>
  <definedNames>
    <definedName name="emp_names">Table1[A]</definedName>
  </definedNames>
  <calcPr calcId="125725"/>
</workbook>
</file>

<file path=xl/calcChain.xml><?xml version="1.0" encoding="utf-8"?>
<calcChain xmlns="http://schemas.openxmlformats.org/spreadsheetml/2006/main">
  <c r="L13" i="8"/>
  <c r="L12"/>
  <c r="L11"/>
  <c r="L10"/>
  <c r="L9"/>
  <c r="L8"/>
  <c r="L7"/>
  <c r="L6"/>
  <c r="L5"/>
  <c r="L4"/>
  <c r="L3"/>
  <c r="L2"/>
  <c r="B12" i="4"/>
  <c r="B11"/>
  <c r="B10"/>
  <c r="B9"/>
  <c r="B8"/>
  <c r="B7"/>
  <c r="B6"/>
  <c r="B5"/>
  <c r="B4"/>
  <c r="B3"/>
  <c r="D35" i="3"/>
  <c r="D34"/>
  <c r="D33"/>
  <c r="C38"/>
  <c r="C37"/>
  <c r="C35"/>
  <c r="C34"/>
  <c r="C33"/>
  <c r="D31" i="2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2"/>
  <c r="D38" l="1"/>
  <c r="D37"/>
  <c r="D34"/>
  <c r="C38"/>
  <c r="D33"/>
  <c r="D35"/>
  <c r="C35"/>
  <c r="C37"/>
  <c r="C34"/>
  <c r="C33"/>
</calcChain>
</file>

<file path=xl/sharedStrings.xml><?xml version="1.0" encoding="utf-8"?>
<sst xmlns="http://schemas.openxmlformats.org/spreadsheetml/2006/main" count="98" uniqueCount="39">
  <si>
    <t>A</t>
  </si>
  <si>
    <t>B</t>
  </si>
  <si>
    <t>C</t>
  </si>
  <si>
    <t>D</t>
  </si>
  <si>
    <t>E</t>
  </si>
  <si>
    <t>F</t>
  </si>
  <si>
    <t>date</t>
  </si>
  <si>
    <t>return</t>
  </si>
  <si>
    <t>sharevalue</t>
  </si>
  <si>
    <t>average</t>
  </si>
  <si>
    <t>median</t>
  </si>
  <si>
    <t>mode</t>
  </si>
  <si>
    <t>kurtosis</t>
  </si>
  <si>
    <t>skewness</t>
  </si>
  <si>
    <t>employee</t>
  </si>
  <si>
    <t>week</t>
  </si>
  <si>
    <t>staff</t>
  </si>
  <si>
    <t>you see! this is only 10</t>
  </si>
  <si>
    <t xml:space="preserve">score </t>
  </si>
  <si>
    <t>A001</t>
  </si>
  <si>
    <t>A002</t>
  </si>
  <si>
    <t>name</t>
  </si>
  <si>
    <t xml:space="preserve">grade </t>
  </si>
  <si>
    <t>remark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</si>
  <si>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</si>
  <si>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</si>
  <si>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</si>
  <si>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</si>
  <si>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</si>
  <si>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</si>
  <si>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</si>
  <si>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</si>
  <si>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</si>
  <si>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</si>
  <si>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needs practice</t>
  </si>
  <si>
    <t>needs attention</t>
  </si>
  <si>
    <t>needs advise</t>
  </si>
  <si>
    <t>did well!</t>
  </si>
  <si>
    <t>needs submissions</t>
  </si>
</sst>
</file>

<file path=xl/styles.xml><?xml version="1.0" encoding="utf-8"?>
<styleSheet xmlns="http://schemas.openxmlformats.org/spreadsheetml/2006/main">
  <numFmts count="1">
    <numFmt numFmtId="166" formatCode="[$-F400]h:mm:ss\ AM/PM"/>
  </numFmts>
  <fonts count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641919"/>
        <bgColor indexed="64"/>
      </patternFill>
    </fill>
    <fill>
      <patternFill patternType="solid">
        <fgColor rgb="FF64FA19"/>
        <bgColor indexed="64"/>
      </patternFill>
    </fill>
    <fill>
      <patternFill patternType="solid">
        <fgColor rgb="FF646419"/>
        <bgColor indexed="64"/>
      </patternFill>
    </fill>
    <fill>
      <patternFill patternType="solid">
        <fgColor rgb="FFFA641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17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2">
    <dxf>
      <numFmt numFmtId="166" formatCode="[$-F400]h:mm:ss\ AM/PM"/>
    </dxf>
    <dxf>
      <numFmt numFmtId="166" formatCode="[$-F400]h:mm:ss\ AM/PM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active_cell"/>
      <definedName name="active_cell_grade"/>
      <definedName name="active_cell_range_"/>
      <definedName name="arith"/>
      <definedName name="explicit_ex"/>
      <definedName name="my_first_if"/>
      <definedName name="range_offset"/>
      <definedName name="Resize"/>
      <definedName name="select_case_ex"/>
      <definedName name="variable_ex"/>
      <definedName name="work_sheet_fun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Table1" displayName="Table1" ref="B2:B12" totalsRowShown="0" headerRowDxfId="0">
  <autoFilter ref="B2:B12"/>
  <tableColumns count="1">
    <tableColumn id="1" name="A" dataDxfId="1">
      <calculatedColumnFormula>CHAR(C3)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6"/>
  <sheetViews>
    <sheetView workbookViewId="0">
      <selection activeCell="D32" sqref="D32"/>
    </sheetView>
  </sheetViews>
  <sheetFormatPr defaultRowHeight="15"/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38"/>
  <sheetViews>
    <sheetView topLeftCell="A19" workbookViewId="0">
      <selection activeCell="C1" sqref="C1:D31"/>
    </sheetView>
  </sheetViews>
  <sheetFormatPr defaultRowHeight="15"/>
  <cols>
    <col min="2" max="2" width="9.7109375" bestFit="1" customWidth="1"/>
  </cols>
  <sheetData>
    <row r="1" spans="1:4">
      <c r="B1" t="s">
        <v>6</v>
      </c>
      <c r="C1" t="s">
        <v>7</v>
      </c>
      <c r="D1" t="s">
        <v>8</v>
      </c>
    </row>
    <row r="2" spans="1:4">
      <c r="A2" s="2"/>
      <c r="B2" s="3">
        <v>36526</v>
      </c>
      <c r="C2">
        <f ca="1">RAND()</f>
        <v>0.96790652093332996</v>
      </c>
      <c r="D2">
        <f ca="1">RAND()*10000</f>
        <v>1227.4186787838294</v>
      </c>
    </row>
    <row r="3" spans="1:4">
      <c r="A3" s="2"/>
      <c r="B3" s="3">
        <v>36527</v>
      </c>
      <c r="C3">
        <f t="shared" ref="C3:C31" ca="1" si="0">RAND()</f>
        <v>0.65949916482200077</v>
      </c>
      <c r="D3">
        <f t="shared" ref="D3:D31" ca="1" si="1">RAND()*10000</f>
        <v>8810.8703422890139</v>
      </c>
    </row>
    <row r="4" spans="1:4">
      <c r="A4" s="2"/>
      <c r="B4" s="3">
        <v>36528</v>
      </c>
      <c r="C4">
        <f t="shared" ca="1" si="0"/>
        <v>0.23717934555741493</v>
      </c>
      <c r="D4">
        <f t="shared" ca="1" si="1"/>
        <v>6054.9399244631168</v>
      </c>
    </row>
    <row r="5" spans="1:4">
      <c r="A5" s="2"/>
      <c r="B5" s="3">
        <v>36529</v>
      </c>
      <c r="C5">
        <f t="shared" ca="1" si="0"/>
        <v>0.82535712968467423</v>
      </c>
      <c r="D5">
        <f t="shared" ca="1" si="1"/>
        <v>7209.9029003561755</v>
      </c>
    </row>
    <row r="6" spans="1:4">
      <c r="A6" s="2"/>
      <c r="B6" s="3">
        <v>36530</v>
      </c>
      <c r="C6">
        <f t="shared" ca="1" si="0"/>
        <v>3.5806410475042405E-2</v>
      </c>
      <c r="D6">
        <f t="shared" ca="1" si="1"/>
        <v>9107.1829841156796</v>
      </c>
    </row>
    <row r="7" spans="1:4">
      <c r="A7" s="2"/>
      <c r="B7" s="3">
        <v>36531</v>
      </c>
      <c r="C7">
        <f t="shared" ca="1" si="0"/>
        <v>0.43456772748491801</v>
      </c>
      <c r="D7">
        <f t="shared" ca="1" si="1"/>
        <v>4739.7660676909491</v>
      </c>
    </row>
    <row r="8" spans="1:4">
      <c r="A8" s="2"/>
      <c r="B8" s="3">
        <v>36532</v>
      </c>
      <c r="C8">
        <f t="shared" ca="1" si="0"/>
        <v>0.29737344160354184</v>
      </c>
      <c r="D8">
        <f t="shared" ca="1" si="1"/>
        <v>8936.7567661047433</v>
      </c>
    </row>
    <row r="9" spans="1:4">
      <c r="A9" s="2"/>
      <c r="B9" s="3">
        <v>36533</v>
      </c>
      <c r="C9">
        <f t="shared" ca="1" si="0"/>
        <v>0.25557114341785625</v>
      </c>
      <c r="D9">
        <f t="shared" ca="1" si="1"/>
        <v>4840.5711931474561</v>
      </c>
    </row>
    <row r="10" spans="1:4">
      <c r="A10" s="2"/>
      <c r="B10" s="3">
        <v>36534</v>
      </c>
      <c r="C10">
        <f t="shared" ca="1" si="0"/>
        <v>0.83232616829129258</v>
      </c>
      <c r="D10">
        <f t="shared" ca="1" si="1"/>
        <v>2816.1948550680172</v>
      </c>
    </row>
    <row r="11" spans="1:4">
      <c r="A11" s="2"/>
      <c r="B11" s="3">
        <v>36535</v>
      </c>
      <c r="C11">
        <f t="shared" ca="1" si="0"/>
        <v>0.87836063609918447</v>
      </c>
      <c r="D11">
        <f t="shared" ca="1" si="1"/>
        <v>9653.7784366838678</v>
      </c>
    </row>
    <row r="12" spans="1:4">
      <c r="A12" s="2"/>
      <c r="B12" s="3">
        <v>36536</v>
      </c>
      <c r="C12">
        <f t="shared" ca="1" si="0"/>
        <v>0.47098716912308225</v>
      </c>
      <c r="D12">
        <f t="shared" ca="1" si="1"/>
        <v>123.10428459115118</v>
      </c>
    </row>
    <row r="13" spans="1:4">
      <c r="A13" s="2"/>
      <c r="B13" s="3">
        <v>36537</v>
      </c>
      <c r="C13">
        <f t="shared" ca="1" si="0"/>
        <v>0.87375360640900368</v>
      </c>
      <c r="D13">
        <f t="shared" ca="1" si="1"/>
        <v>7101.3499055128214</v>
      </c>
    </row>
    <row r="14" spans="1:4">
      <c r="A14" s="2"/>
      <c r="B14" s="3">
        <v>36538</v>
      </c>
      <c r="C14">
        <f t="shared" ca="1" si="0"/>
        <v>0.87286896889726728</v>
      </c>
      <c r="D14">
        <f t="shared" ca="1" si="1"/>
        <v>6666.2562032137048</v>
      </c>
    </row>
    <row r="15" spans="1:4">
      <c r="A15" s="2"/>
      <c r="B15" s="3">
        <v>36539</v>
      </c>
      <c r="C15">
        <f t="shared" ca="1" si="0"/>
        <v>0.33809228854900231</v>
      </c>
      <c r="D15">
        <f t="shared" ca="1" si="1"/>
        <v>8437.422802086312</v>
      </c>
    </row>
    <row r="16" spans="1:4">
      <c r="A16" s="2"/>
      <c r="B16" s="3">
        <v>36540</v>
      </c>
      <c r="C16">
        <f t="shared" ca="1" si="0"/>
        <v>0.3423346738912405</v>
      </c>
      <c r="D16">
        <f t="shared" ca="1" si="1"/>
        <v>2612.5832568139917</v>
      </c>
    </row>
    <row r="17" spans="1:4">
      <c r="A17" s="2"/>
      <c r="B17" s="3">
        <v>36541</v>
      </c>
      <c r="C17">
        <f t="shared" ca="1" si="0"/>
        <v>0.94031456627760113</v>
      </c>
      <c r="D17">
        <f t="shared" ca="1" si="1"/>
        <v>4444.3529203846847</v>
      </c>
    </row>
    <row r="18" spans="1:4">
      <c r="A18" s="2"/>
      <c r="B18" s="3">
        <v>36542</v>
      </c>
      <c r="C18">
        <f t="shared" ca="1" si="0"/>
        <v>0.1465456605644917</v>
      </c>
      <c r="D18">
        <f t="shared" ca="1" si="1"/>
        <v>6835.182681073491</v>
      </c>
    </row>
    <row r="19" spans="1:4">
      <c r="A19" s="2"/>
      <c r="B19" s="3">
        <v>36543</v>
      </c>
      <c r="C19">
        <f t="shared" ca="1" si="0"/>
        <v>8.0342478686865171E-2</v>
      </c>
      <c r="D19">
        <f t="shared" ca="1" si="1"/>
        <v>785.70278681649347</v>
      </c>
    </row>
    <row r="20" spans="1:4">
      <c r="A20" s="2"/>
      <c r="B20" s="3">
        <v>36544</v>
      </c>
      <c r="C20">
        <f t="shared" ca="1" si="0"/>
        <v>0.78509231335642493</v>
      </c>
      <c r="D20">
        <f t="shared" ca="1" si="1"/>
        <v>7006.9511969818495</v>
      </c>
    </row>
    <row r="21" spans="1:4">
      <c r="A21" s="2"/>
      <c r="B21" s="3">
        <v>36545</v>
      </c>
      <c r="C21">
        <f t="shared" ca="1" si="0"/>
        <v>0.75124752467764999</v>
      </c>
      <c r="D21">
        <f t="shared" ca="1" si="1"/>
        <v>5613.0490006388545</v>
      </c>
    </row>
    <row r="22" spans="1:4">
      <c r="A22" s="2"/>
      <c r="B22" s="3">
        <v>36546</v>
      </c>
      <c r="C22">
        <f t="shared" ca="1" si="0"/>
        <v>0.47958406504013062</v>
      </c>
      <c r="D22">
        <f t="shared" ca="1" si="1"/>
        <v>2651.0127942892805</v>
      </c>
    </row>
    <row r="23" spans="1:4">
      <c r="A23" s="2"/>
      <c r="B23" s="3">
        <v>36547</v>
      </c>
      <c r="C23">
        <f t="shared" ca="1" si="0"/>
        <v>2.5358120581850052E-2</v>
      </c>
      <c r="D23">
        <f t="shared" ca="1" si="1"/>
        <v>6880.6098669239127</v>
      </c>
    </row>
    <row r="24" spans="1:4">
      <c r="A24" s="2"/>
      <c r="B24" s="3">
        <v>36548</v>
      </c>
      <c r="C24">
        <f t="shared" ca="1" si="0"/>
        <v>0.63530586109353937</v>
      </c>
      <c r="D24">
        <f t="shared" ca="1" si="1"/>
        <v>7901.3075635434179</v>
      </c>
    </row>
    <row r="25" spans="1:4">
      <c r="A25" s="2"/>
      <c r="B25" s="3">
        <v>36549</v>
      </c>
      <c r="C25">
        <f t="shared" ca="1" si="0"/>
        <v>0.79186936383620599</v>
      </c>
      <c r="D25">
        <f t="shared" ca="1" si="1"/>
        <v>4648.4091527488754</v>
      </c>
    </row>
    <row r="26" spans="1:4">
      <c r="A26" s="2"/>
      <c r="B26" s="3">
        <v>36550</v>
      </c>
      <c r="C26">
        <f t="shared" ca="1" si="0"/>
        <v>0.90451486900516564</v>
      </c>
      <c r="D26">
        <f t="shared" ca="1" si="1"/>
        <v>8712.5088145748396</v>
      </c>
    </row>
    <row r="27" spans="1:4">
      <c r="A27" s="2"/>
      <c r="B27" s="3">
        <v>36551</v>
      </c>
      <c r="C27">
        <f t="shared" ca="1" si="0"/>
        <v>0.10333624526137175</v>
      </c>
      <c r="D27">
        <f t="shared" ca="1" si="1"/>
        <v>9766.7428938805242</v>
      </c>
    </row>
    <row r="28" spans="1:4">
      <c r="A28" s="2"/>
      <c r="B28" s="3">
        <v>36552</v>
      </c>
      <c r="C28">
        <f t="shared" ca="1" si="0"/>
        <v>0.63793088911702123</v>
      </c>
      <c r="D28">
        <f t="shared" ca="1" si="1"/>
        <v>1275.6782040804283</v>
      </c>
    </row>
    <row r="29" spans="1:4">
      <c r="A29" s="2"/>
      <c r="B29" s="3">
        <v>36553</v>
      </c>
      <c r="C29">
        <f t="shared" ca="1" si="0"/>
        <v>0.20285138345395115</v>
      </c>
      <c r="D29">
        <f t="shared" ca="1" si="1"/>
        <v>2145.4390911951559</v>
      </c>
    </row>
    <row r="30" spans="1:4">
      <c r="A30" s="2"/>
      <c r="B30" s="3">
        <v>36554</v>
      </c>
      <c r="C30">
        <f t="shared" ca="1" si="0"/>
        <v>0.35706558028863311</v>
      </c>
      <c r="D30">
        <f t="shared" ca="1" si="1"/>
        <v>7355.478904128694</v>
      </c>
    </row>
    <row r="31" spans="1:4">
      <c r="B31" s="3">
        <v>36555</v>
      </c>
      <c r="C31">
        <f t="shared" ca="1" si="0"/>
        <v>0.30610180260808662</v>
      </c>
      <c r="D31">
        <f t="shared" ca="1" si="1"/>
        <v>125.77673210699913</v>
      </c>
    </row>
    <row r="33" spans="2:4">
      <c r="B33" t="s">
        <v>9</v>
      </c>
      <c r="C33">
        <f ca="1">AVERAGE(C2:C31)</f>
        <v>0.51564817063626123</v>
      </c>
      <c r="D33">
        <f ca="1">AVERAGE(D2:D31)</f>
        <v>5482.8767068096113</v>
      </c>
    </row>
    <row r="34" spans="2:4">
      <c r="B34" t="s">
        <v>10</v>
      </c>
      <c r="C34">
        <f ca="1">MEDIAN(C2:C31)</f>
        <v>0.47528561708160644</v>
      </c>
      <c r="D34">
        <f ca="1">MEDIAN(D2:D31)</f>
        <v>6360.5980638384108</v>
      </c>
    </row>
    <row r="35" spans="2:4">
      <c r="B35" t="s">
        <v>11</v>
      </c>
      <c r="C35" t="e">
        <f ca="1">MODE(C2:C31)</f>
        <v>#N/A</v>
      </c>
      <c r="D35" t="e">
        <f ca="1">MODE(D2:D31)</f>
        <v>#N/A</v>
      </c>
    </row>
    <row r="37" spans="2:4">
      <c r="B37" t="s">
        <v>12</v>
      </c>
      <c r="C37">
        <f ca="1">KURT(C2:C31)</f>
        <v>-1.4673541382489796</v>
      </c>
      <c r="D37">
        <f ca="1">KURT(D2:D31)</f>
        <v>-1.1131455061947388</v>
      </c>
    </row>
    <row r="38" spans="2:4">
      <c r="B38" t="s">
        <v>13</v>
      </c>
      <c r="C38">
        <f ca="1">SKEW(C2:C31)</f>
        <v>-5.9073201902477453E-2</v>
      </c>
      <c r="D38">
        <f ca="1">SKEW(D2:D31)</f>
        <v>-0.38579498848824745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D38"/>
  <sheetViews>
    <sheetView topLeftCell="A19" workbookViewId="0">
      <selection activeCell="D28" sqref="D28"/>
    </sheetView>
  </sheetViews>
  <sheetFormatPr defaultRowHeight="15"/>
  <sheetData>
    <row r="1" spans="3:4">
      <c r="C1" t="s">
        <v>7</v>
      </c>
      <c r="D1" t="s">
        <v>8</v>
      </c>
    </row>
    <row r="2" spans="3:4">
      <c r="C2">
        <v>0.93345301437540407</v>
      </c>
      <c r="D2">
        <v>3737.3802052653814</v>
      </c>
    </row>
    <row r="3" spans="3:4">
      <c r="C3">
        <v>1.8860101851368327E-2</v>
      </c>
      <c r="D3">
        <v>340.69204074415717</v>
      </c>
    </row>
    <row r="4" spans="3:4">
      <c r="C4">
        <v>0.57735472819515654</v>
      </c>
      <c r="D4">
        <v>6702.9443704134037</v>
      </c>
    </row>
    <row r="5" spans="3:4">
      <c r="C5">
        <v>7.7942263758449259E-2</v>
      </c>
      <c r="D5">
        <v>8777.9066742530176</v>
      </c>
    </row>
    <row r="6" spans="3:4">
      <c r="C6">
        <v>0.53734528626443367</v>
      </c>
      <c r="D6">
        <v>9701.8334692435728</v>
      </c>
    </row>
    <row r="7" spans="3:4">
      <c r="C7">
        <v>0.76483836389615134</v>
      </c>
      <c r="D7">
        <v>9803.311636620303</v>
      </c>
    </row>
    <row r="8" spans="3:4">
      <c r="C8">
        <v>0.5473453491329181</v>
      </c>
      <c r="D8">
        <v>7106.5893991299454</v>
      </c>
    </row>
    <row r="9" spans="3:4">
      <c r="C9">
        <v>0.67778091872397717</v>
      </c>
      <c r="D9">
        <v>1959.5546891896997</v>
      </c>
    </row>
    <row r="10" spans="3:4">
      <c r="C10">
        <v>5.1186534089988633E-2</v>
      </c>
      <c r="D10">
        <v>9218.9551576768154</v>
      </c>
    </row>
    <row r="11" spans="3:4">
      <c r="C11">
        <v>0.69565080797230383</v>
      </c>
      <c r="D11">
        <v>822.55837212358074</v>
      </c>
    </row>
    <row r="12" spans="3:4">
      <c r="C12">
        <v>0.3474197975383162</v>
      </c>
      <c r="D12">
        <v>2419.8989408230464</v>
      </c>
    </row>
    <row r="13" spans="3:4">
      <c r="C13">
        <v>0.32892283699132818</v>
      </c>
      <c r="D13">
        <v>6363.1346765477392</v>
      </c>
    </row>
    <row r="14" spans="3:4">
      <c r="C14">
        <v>4.6784490454931049E-2</v>
      </c>
      <c r="D14">
        <v>8689.2748673168535</v>
      </c>
    </row>
    <row r="15" spans="3:4">
      <c r="C15">
        <v>0.64844930407824752</v>
      </c>
      <c r="D15">
        <v>5299.4696152321239</v>
      </c>
    </row>
    <row r="16" spans="3:4">
      <c r="C16">
        <v>0.51984974887324054</v>
      </c>
      <c r="D16">
        <v>2489.4266592891599</v>
      </c>
    </row>
    <row r="17" spans="3:4">
      <c r="C17">
        <v>0.66373406066769269</v>
      </c>
      <c r="D17">
        <v>9431.1713939562505</v>
      </c>
    </row>
    <row r="18" spans="3:4">
      <c r="C18">
        <v>0.18513561967460213</v>
      </c>
      <c r="D18">
        <v>3555.1048847053867</v>
      </c>
    </row>
    <row r="19" spans="3:4">
      <c r="C19">
        <v>0.18043610689873546</v>
      </c>
      <c r="D19">
        <v>910.27526962620618</v>
      </c>
    </row>
    <row r="20" spans="3:4">
      <c r="C20">
        <v>0.37344722445401235</v>
      </c>
      <c r="D20">
        <v>144.64629296249143</v>
      </c>
    </row>
    <row r="21" spans="3:4">
      <c r="C21">
        <v>0.77391728889757783</v>
      </c>
      <c r="D21">
        <v>7804.1531030263477</v>
      </c>
    </row>
    <row r="22" spans="3:4">
      <c r="C22">
        <v>0.246673688983293</v>
      </c>
      <c r="D22">
        <v>1098.7567583384196</v>
      </c>
    </row>
    <row r="23" spans="3:4">
      <c r="C23">
        <v>0.16669377588153189</v>
      </c>
      <c r="D23">
        <v>6779.8226617189439</v>
      </c>
    </row>
    <row r="24" spans="3:4">
      <c r="C24">
        <v>0.95839958169328821</v>
      </c>
      <c r="D24">
        <v>4151.1965414119168</v>
      </c>
    </row>
    <row r="25" spans="3:4">
      <c r="C25">
        <v>0.90945530368998218</v>
      </c>
      <c r="D25">
        <v>2492.4021713929887</v>
      </c>
    </row>
    <row r="26" spans="3:4">
      <c r="C26">
        <v>0.6855637701392201</v>
      </c>
      <c r="D26">
        <v>4367.4255876053758</v>
      </c>
    </row>
    <row r="27" spans="3:4">
      <c r="C27">
        <v>0.69088274554810125</v>
      </c>
      <c r="D27">
        <v>2282.6431552653958</v>
      </c>
    </row>
    <row r="28" spans="3:4">
      <c r="C28">
        <v>0.10224193736792575</v>
      </c>
      <c r="D28">
        <v>3171.8816502979075</v>
      </c>
    </row>
    <row r="29" spans="3:4">
      <c r="C29">
        <v>0.66508729619557694</v>
      </c>
      <c r="D29">
        <v>9358.6385979901625</v>
      </c>
    </row>
    <row r="30" spans="3:4">
      <c r="C30">
        <v>0.58799069811925175</v>
      </c>
      <c r="D30">
        <v>4273.4834687839029</v>
      </c>
    </row>
    <row r="31" spans="3:4">
      <c r="C31">
        <v>0.15717806585046379</v>
      </c>
      <c r="D31">
        <v>3912.2102864645303</v>
      </c>
    </row>
    <row r="33" spans="2:4">
      <c r="B33" t="s">
        <v>9</v>
      </c>
      <c r="C33">
        <f>AVERAGE(C2:C31)</f>
        <v>0.47066735700858225</v>
      </c>
      <c r="D33">
        <f>AVERAGE(D2:D31)</f>
        <v>4905.5580865805014</v>
      </c>
    </row>
    <row r="34" spans="2:4">
      <c r="B34" t="s">
        <v>10</v>
      </c>
      <c r="C34">
        <f>MEDIAN(C2:C31)</f>
        <v>0.54234531769867589</v>
      </c>
      <c r="D34">
        <f>MEDIAN(D2:D31)</f>
        <v>4212.3400050979099</v>
      </c>
    </row>
    <row r="35" spans="2:4">
      <c r="B35" t="s">
        <v>11</v>
      </c>
      <c r="C35" t="e">
        <f>MODE(C2:C31)</f>
        <v>#N/A</v>
      </c>
      <c r="D35" t="e">
        <f>MODE(D2:D31)</f>
        <v>#N/A</v>
      </c>
    </row>
    <row r="37" spans="2:4">
      <c r="B37" t="s">
        <v>12</v>
      </c>
      <c r="C37">
        <f>KURT(C2:C31)</f>
        <v>-1.2637703516296397</v>
      </c>
    </row>
    <row r="38" spans="2:4">
      <c r="B38" t="s">
        <v>13</v>
      </c>
      <c r="C38">
        <f>SKEW(C2:C31)</f>
        <v>-8.7769246351816085E-2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28"/>
  <sheetViews>
    <sheetView workbookViewId="0">
      <selection activeCell="B3" sqref="B3"/>
    </sheetView>
  </sheetViews>
  <sheetFormatPr defaultRowHeight="15"/>
  <cols>
    <col min="2" max="2" width="11.5703125" bestFit="1" customWidth="1"/>
  </cols>
  <sheetData>
    <row r="1" spans="1:3">
      <c r="B1" t="s">
        <v>14</v>
      </c>
    </row>
    <row r="2" spans="1:3">
      <c r="A2" s="4"/>
      <c r="B2" s="5" t="s">
        <v>0</v>
      </c>
      <c r="C2">
        <v>65</v>
      </c>
    </row>
    <row r="3" spans="1:3">
      <c r="A3" s="4"/>
      <c r="B3" s="5" t="str">
        <f t="shared" ref="B3:B12" si="0">CHAR(C3)</f>
        <v>B</v>
      </c>
      <c r="C3">
        <v>66</v>
      </c>
    </row>
    <row r="4" spans="1:3">
      <c r="A4" s="4"/>
      <c r="B4" s="5" t="str">
        <f t="shared" si="0"/>
        <v>C</v>
      </c>
      <c r="C4">
        <v>67</v>
      </c>
    </row>
    <row r="5" spans="1:3">
      <c r="A5" s="4"/>
      <c r="B5" s="5" t="str">
        <f t="shared" si="0"/>
        <v>D</v>
      </c>
      <c r="C5">
        <v>68</v>
      </c>
    </row>
    <row r="6" spans="1:3">
      <c r="A6" s="4"/>
      <c r="B6" s="5" t="str">
        <f t="shared" si="0"/>
        <v>E</v>
      </c>
      <c r="C6">
        <v>69</v>
      </c>
    </row>
    <row r="7" spans="1:3">
      <c r="A7" s="4"/>
      <c r="B7" s="5" t="str">
        <f t="shared" si="0"/>
        <v>F</v>
      </c>
      <c r="C7">
        <v>70</v>
      </c>
    </row>
    <row r="8" spans="1:3">
      <c r="A8" s="4"/>
      <c r="B8" s="5" t="str">
        <f t="shared" si="0"/>
        <v>G</v>
      </c>
      <c r="C8">
        <v>71</v>
      </c>
    </row>
    <row r="9" spans="1:3">
      <c r="A9" s="4"/>
      <c r="B9" s="5" t="str">
        <f t="shared" si="0"/>
        <v>H</v>
      </c>
      <c r="C9">
        <v>72</v>
      </c>
    </row>
    <row r="10" spans="1:3">
      <c r="A10" s="4"/>
      <c r="B10" s="5" t="str">
        <f t="shared" si="0"/>
        <v>I</v>
      </c>
      <c r="C10">
        <v>73</v>
      </c>
    </row>
    <row r="11" spans="1:3">
      <c r="A11" s="4"/>
      <c r="B11" s="5" t="str">
        <f t="shared" si="0"/>
        <v>J</v>
      </c>
      <c r="C11">
        <v>74</v>
      </c>
    </row>
    <row r="12" spans="1:3">
      <c r="A12" s="4"/>
      <c r="B12" s="5" t="str">
        <f t="shared" si="0"/>
        <v>K</v>
      </c>
      <c r="C12">
        <v>75</v>
      </c>
    </row>
    <row r="13" spans="1:3">
      <c r="A13" s="4"/>
    </row>
    <row r="14" spans="1:3">
      <c r="A14" s="4"/>
    </row>
    <row r="15" spans="1:3">
      <c r="A15" s="4"/>
    </row>
    <row r="16" spans="1:3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12"/>
  <sheetViews>
    <sheetView workbookViewId="0">
      <selection activeCell="B4" sqref="B4"/>
    </sheetView>
  </sheetViews>
  <sheetFormatPr defaultRowHeight="15"/>
  <sheetData>
    <row r="1" spans="1:2">
      <c r="A1" t="s">
        <v>15</v>
      </c>
      <c r="B1" t="s">
        <v>16</v>
      </c>
    </row>
    <row r="2" spans="1:2">
      <c r="A2">
        <v>1</v>
      </c>
      <c r="B2" t="s">
        <v>1</v>
      </c>
    </row>
    <row r="3" spans="1:2">
      <c r="A3">
        <v>2</v>
      </c>
      <c r="B3" t="s">
        <v>2</v>
      </c>
    </row>
    <row r="4" spans="1:2">
      <c r="A4">
        <v>3</v>
      </c>
    </row>
    <row r="5" spans="1:2">
      <c r="A5">
        <v>4</v>
      </c>
    </row>
    <row r="6" spans="1:2">
      <c r="A6">
        <v>5</v>
      </c>
    </row>
    <row r="7" spans="1:2">
      <c r="A7">
        <v>6</v>
      </c>
    </row>
    <row r="8" spans="1:2">
      <c r="A8">
        <v>7</v>
      </c>
    </row>
    <row r="9" spans="1:2">
      <c r="A9">
        <v>8</v>
      </c>
    </row>
    <row r="10" spans="1:2">
      <c r="A10">
        <v>9</v>
      </c>
    </row>
    <row r="11" spans="1:2">
      <c r="A11">
        <v>10</v>
      </c>
    </row>
    <row r="12" spans="1:2">
      <c r="A12">
        <v>11</v>
      </c>
    </row>
  </sheetData>
  <dataValidations count="1">
    <dataValidation type="list" allowBlank="1" showInputMessage="1" showErrorMessage="1" sqref="B1:B12">
      <formula1>emp_names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20"/>
  <sheetViews>
    <sheetView workbookViewId="0">
      <selection activeCell="G24" sqref="G24"/>
    </sheetView>
  </sheetViews>
  <sheetFormatPr defaultRowHeight="15"/>
  <sheetData>
    <row r="1" spans="1:2">
      <c r="A1">
        <v>1</v>
      </c>
    </row>
    <row r="2" spans="1:2">
      <c r="B2">
        <v>2</v>
      </c>
    </row>
    <row r="11" spans="1:2">
      <c r="A11">
        <v>10</v>
      </c>
      <c r="B11">
        <v>10.5</v>
      </c>
    </row>
    <row r="12" spans="1:2">
      <c r="A12">
        <v>10</v>
      </c>
      <c r="B12">
        <v>10.5</v>
      </c>
    </row>
    <row r="13" spans="1:2">
      <c r="A13">
        <v>10</v>
      </c>
      <c r="B13">
        <v>10.5</v>
      </c>
    </row>
    <row r="14" spans="1:2">
      <c r="A14">
        <v>10</v>
      </c>
      <c r="B14">
        <v>10.5</v>
      </c>
    </row>
    <row r="15" spans="1:2">
      <c r="A15">
        <v>10</v>
      </c>
      <c r="B15">
        <v>10.5</v>
      </c>
    </row>
    <row r="16" spans="1:2">
      <c r="A16">
        <v>10</v>
      </c>
      <c r="B16">
        <v>10.5</v>
      </c>
    </row>
    <row r="17" spans="1:2">
      <c r="A17">
        <v>10</v>
      </c>
      <c r="B17">
        <v>10.5</v>
      </c>
    </row>
    <row r="18" spans="1:2">
      <c r="A18">
        <v>10</v>
      </c>
      <c r="B18">
        <v>10.5</v>
      </c>
    </row>
    <row r="19" spans="1:2">
      <c r="A19">
        <v>10</v>
      </c>
      <c r="B19">
        <v>10.5</v>
      </c>
    </row>
    <row r="20" spans="1:2">
      <c r="A20">
        <v>10</v>
      </c>
      <c r="B20">
        <v>10.5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C3" sqref="C3"/>
    </sheetView>
  </sheetViews>
  <sheetFormatPr defaultRowHeight="15"/>
  <sheetData>
    <row r="1" spans="1:1">
      <c r="A1" t="s">
        <v>17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7"/>
  <sheetViews>
    <sheetView tabSelected="1" workbookViewId="0">
      <selection activeCell="L27" sqref="L27"/>
    </sheetView>
  </sheetViews>
  <sheetFormatPr defaultRowHeight="15"/>
  <sheetData>
    <row r="1" spans="1:14">
      <c r="A1" t="s">
        <v>19</v>
      </c>
      <c r="B1" s="6">
        <v>85</v>
      </c>
      <c r="K1" t="s">
        <v>21</v>
      </c>
      <c r="L1" t="s">
        <v>18</v>
      </c>
      <c r="M1" t="s">
        <v>22</v>
      </c>
      <c r="N1" t="s">
        <v>23</v>
      </c>
    </row>
    <row r="2" spans="1:14">
      <c r="A2" s="7" t="s">
        <v>20</v>
      </c>
      <c r="B2" s="7">
        <v>25</v>
      </c>
      <c r="C2" s="7" t="s">
        <v>5</v>
      </c>
      <c r="D2" s="7"/>
      <c r="K2" t="s">
        <v>19</v>
      </c>
      <c r="L2">
        <f ca="1">RAND()*100</f>
        <v>59.526404644573731</v>
      </c>
      <c r="M2" s="1" t="s">
        <v>2</v>
      </c>
      <c r="N2" t="s">
        <v>34</v>
      </c>
    </row>
    <row r="3" spans="1:14">
      <c r="A3" s="7"/>
      <c r="B3" s="7"/>
      <c r="C3" s="7"/>
      <c r="D3" s="7"/>
      <c r="K3" t="s">
        <v>20</v>
      </c>
      <c r="L3" s="1">
        <f t="shared" ref="L3:L13" ca="1" si="0">RAND()*100</f>
        <v>84.53363723473197</v>
      </c>
      <c r="M3" t="s">
        <v>5</v>
      </c>
      <c r="N3" t="s">
        <v>35</v>
      </c>
    </row>
    <row r="4" spans="1:14">
      <c r="K4" t="s">
        <v>24</v>
      </c>
      <c r="L4">
        <f t="shared" ca="1" si="0"/>
        <v>53.994673387961711</v>
      </c>
      <c r="M4" s="1" t="s">
        <v>2</v>
      </c>
      <c r="N4" t="s">
        <v>34</v>
      </c>
    </row>
    <row r="5" spans="1:14">
      <c r="A5" s="7"/>
      <c r="B5" s="7">
        <v>25</v>
      </c>
      <c r="C5" s="7" t="s">
        <v>5</v>
      </c>
      <c r="K5" t="s">
        <v>25</v>
      </c>
      <c r="L5" s="1">
        <f t="shared" ca="1" si="0"/>
        <v>47.896675745276738</v>
      </c>
      <c r="M5" t="s">
        <v>5</v>
      </c>
      <c r="N5" t="s">
        <v>35</v>
      </c>
    </row>
    <row r="6" spans="1:14">
      <c r="A6" s="7"/>
      <c r="B6" s="7"/>
      <c r="C6" s="7"/>
      <c r="K6" t="s">
        <v>26</v>
      </c>
      <c r="L6" s="1">
        <f t="shared" ca="1" si="0"/>
        <v>88.504597692305339</v>
      </c>
      <c r="M6" t="s">
        <v>5</v>
      </c>
      <c r="N6" t="s">
        <v>35</v>
      </c>
    </row>
    <row r="7" spans="1:14">
      <c r="K7" t="s">
        <v>27</v>
      </c>
      <c r="L7" s="1">
        <f t="shared" ca="1" si="0"/>
        <v>29.161952382878397</v>
      </c>
      <c r="M7" t="s">
        <v>5</v>
      </c>
      <c r="N7" t="s">
        <v>35</v>
      </c>
    </row>
    <row r="8" spans="1:14">
      <c r="A8" s="8"/>
      <c r="B8" s="8"/>
      <c r="C8" s="8"/>
      <c r="D8" s="8"/>
      <c r="K8" t="s">
        <v>28</v>
      </c>
      <c r="L8">
        <f t="shared" ca="1" si="0"/>
        <v>7.3506985836749195</v>
      </c>
      <c r="M8" s="1" t="s">
        <v>2</v>
      </c>
      <c r="N8" t="s">
        <v>34</v>
      </c>
    </row>
    <row r="9" spans="1:14">
      <c r="K9" t="s">
        <v>29</v>
      </c>
      <c r="L9">
        <f t="shared" ca="1" si="0"/>
        <v>38.29074672330313</v>
      </c>
      <c r="M9" s="1" t="s">
        <v>4</v>
      </c>
      <c r="N9" t="s">
        <v>36</v>
      </c>
    </row>
    <row r="10" spans="1:14">
      <c r="E10" s="11"/>
      <c r="F10" s="11">
        <v>25</v>
      </c>
      <c r="G10" s="11" t="s">
        <v>5</v>
      </c>
      <c r="H10" s="11"/>
      <c r="K10" t="s">
        <v>30</v>
      </c>
      <c r="L10">
        <f t="shared" ca="1" si="0"/>
        <v>16.295491161756015</v>
      </c>
      <c r="M10" s="1" t="s">
        <v>4</v>
      </c>
      <c r="N10" t="s">
        <v>36</v>
      </c>
    </row>
    <row r="11" spans="1:14">
      <c r="A11" s="9"/>
      <c r="B11" s="9"/>
      <c r="C11" s="9"/>
      <c r="D11" s="9"/>
      <c r="K11" t="s">
        <v>31</v>
      </c>
      <c r="L11">
        <f t="shared" ca="1" si="0"/>
        <v>67.21160159060058</v>
      </c>
      <c r="M11" s="1" t="s">
        <v>0</v>
      </c>
      <c r="N11" t="s">
        <v>37</v>
      </c>
    </row>
    <row r="12" spans="1:14">
      <c r="K12" t="s">
        <v>32</v>
      </c>
      <c r="L12">
        <f t="shared" ca="1" si="0"/>
        <v>64.026879243777898</v>
      </c>
      <c r="M12" s="1" t="s">
        <v>2</v>
      </c>
      <c r="N12" t="s">
        <v>34</v>
      </c>
    </row>
    <row r="13" spans="1:14">
      <c r="A13" s="10"/>
      <c r="B13" s="10"/>
      <c r="C13" s="10"/>
      <c r="D13" s="10"/>
      <c r="K13" t="s">
        <v>33</v>
      </c>
      <c r="L13" s="1">
        <f t="shared" ca="1" si="0"/>
        <v>43.18761457385574</v>
      </c>
      <c r="M13" t="s">
        <v>5</v>
      </c>
      <c r="N13" t="s">
        <v>35</v>
      </c>
    </row>
    <row r="16" spans="1:14">
      <c r="L16">
        <v>42.43927311668525</v>
      </c>
      <c r="M16" s="1" t="s">
        <v>4</v>
      </c>
      <c r="N16" t="s">
        <v>36</v>
      </c>
    </row>
    <row r="17" spans="12:15">
      <c r="L17">
        <v>78.006847297792973</v>
      </c>
      <c r="M17" s="1" t="s">
        <v>1</v>
      </c>
      <c r="N17" t="s">
        <v>38</v>
      </c>
    </row>
    <row r="18" spans="12:15">
      <c r="L18" s="1">
        <v>3.5057454617639872</v>
      </c>
      <c r="M18" t="s">
        <v>5</v>
      </c>
      <c r="N18" t="s">
        <v>35</v>
      </c>
    </row>
    <row r="19" spans="12:15">
      <c r="L19">
        <v>40.777213574572713</v>
      </c>
      <c r="M19" s="1" t="s">
        <v>4</v>
      </c>
      <c r="N19" s="1" t="s">
        <v>36</v>
      </c>
      <c r="O19" t="s">
        <v>35</v>
      </c>
    </row>
    <row r="20" spans="12:15">
      <c r="L20">
        <v>93.079909211622876</v>
      </c>
      <c r="M20" s="1" t="s">
        <v>0</v>
      </c>
      <c r="N20" t="s">
        <v>37</v>
      </c>
    </row>
    <row r="21" spans="12:15">
      <c r="L21">
        <v>76.204472138708198</v>
      </c>
      <c r="M21" s="1" t="s">
        <v>1</v>
      </c>
      <c r="N21" t="s">
        <v>38</v>
      </c>
    </row>
    <row r="22" spans="12:15">
      <c r="L22">
        <v>37.65065490546786</v>
      </c>
      <c r="M22" s="1" t="s">
        <v>4</v>
      </c>
      <c r="N22" t="s">
        <v>36</v>
      </c>
    </row>
    <row r="23" spans="12:15">
      <c r="L23">
        <v>4.2185283231079396</v>
      </c>
      <c r="M23" s="1" t="s">
        <v>5</v>
      </c>
      <c r="N23" t="s">
        <v>35</v>
      </c>
    </row>
    <row r="24" spans="12:15">
      <c r="L24">
        <v>71.323924485721292</v>
      </c>
      <c r="M24" s="1" t="s">
        <v>2</v>
      </c>
      <c r="N24" t="s">
        <v>34</v>
      </c>
    </row>
    <row r="25" spans="12:15">
      <c r="L25">
        <v>55.319256915404495</v>
      </c>
      <c r="M25" s="1" t="s">
        <v>3</v>
      </c>
      <c r="N25" t="s">
        <v>36</v>
      </c>
    </row>
    <row r="26" spans="12:15">
      <c r="L26">
        <v>12.861904046211103</v>
      </c>
      <c r="M26" s="1" t="s">
        <v>5</v>
      </c>
      <c r="N26" t="s">
        <v>35</v>
      </c>
    </row>
    <row r="27" spans="12:15">
      <c r="L27">
        <v>13.036938686983479</v>
      </c>
      <c r="M27" s="1" t="s">
        <v>5</v>
      </c>
      <c r="N27" t="s">
        <v>35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format</vt:lpstr>
      <vt:lpstr>summary</vt:lpstr>
      <vt:lpstr>summary_trial1</vt:lpstr>
      <vt:lpstr>Sheet4</vt:lpstr>
      <vt:lpstr>Sheet5</vt:lpstr>
      <vt:lpstr>active_cell</vt:lpstr>
      <vt:lpstr>Sheet7</vt:lpstr>
      <vt:lpstr>Sheet8</vt:lpstr>
      <vt:lpstr>emp_names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musunuru</dc:creator>
  <cp:lastModifiedBy>musunuru</cp:lastModifiedBy>
  <dcterms:created xsi:type="dcterms:W3CDTF">2014-03-17T05:54:24Z</dcterms:created>
  <dcterms:modified xsi:type="dcterms:W3CDTF">2014-03-17T12:33:38Z</dcterms:modified>
</cp:coreProperties>
</file>